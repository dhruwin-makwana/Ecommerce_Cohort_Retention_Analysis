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5"/>
  </sheets>
  <definedNames>
    <definedName hidden="1" localSheetId="0" name="_xlnm._FilterDatabase">'04'!$A$9:$F$41</definedName>
  </definedNames>
  <calcPr/>
</workbook>
</file>

<file path=xl/sharedStrings.xml><?xml version="1.0" encoding="utf-8"?>
<sst xmlns="http://schemas.openxmlformats.org/spreadsheetml/2006/main" count="62" uniqueCount="44">
  <si>
    <t>Subcategory Product Retention Summary</t>
  </si>
  <si>
    <r>
      <rPr>
        <rFont val="Arial"/>
        <b/>
        <color theme="1"/>
      </rPr>
      <t>SOURCE:</t>
    </r>
    <r>
      <rPr>
        <rFont val="Arial"/>
        <color theme="1"/>
      </rPr>
      <t xml:space="preserve"> PostgreSQL (View: cohort_analysis)</t>
    </r>
  </si>
  <si>
    <r>
      <rPr>
        <rFont val="Arial"/>
        <b/>
        <color theme="1"/>
      </rPr>
      <t>DATASET:</t>
    </r>
    <r>
      <rPr>
        <rFont val="Arial"/>
        <color theme="1"/>
      </rPr>
      <t xml:space="preserve"> contoso_100k</t>
    </r>
  </si>
  <si>
    <r>
      <rPr>
        <rFont val="Arial"/>
        <b/>
        <color theme="1"/>
      </rPr>
      <t>FIRST PURCHASE RANGE (COHORT):</t>
    </r>
    <r>
      <rPr>
        <rFont val="Arial"/>
        <color theme="1"/>
      </rPr>
      <t xml:space="preserve"> 20 April 2022 - 20 April 2023 </t>
    </r>
  </si>
  <si>
    <r>
      <rPr>
        <rFont val="Google Sans Text"/>
        <b/>
        <color theme="1"/>
      </rPr>
      <t xml:space="preserve">LOGIC: </t>
    </r>
    <r>
      <rPr>
        <rFont val="Google Sans Text"/>
        <color theme="1"/>
      </rPr>
      <t>"Retained" = 2nd order placed within 365 days from 1st order.</t>
    </r>
  </si>
  <si>
    <r>
      <rPr>
        <rFont val="Arial"/>
        <b/>
        <color theme="1"/>
      </rPr>
      <t>COHORT MATURITY:</t>
    </r>
    <r>
      <rPr>
        <rFont val="Arial"/>
        <color theme="1"/>
      </rPr>
      <t xml:space="preserve"> This date range represents the latest fully matured cohort, ensuring every customer included has had a complete 365-day window to potentially return.</t>
    </r>
  </si>
  <si>
    <t>subcategoryname</t>
  </si>
  <si>
    <t>retained_customer_count</t>
  </si>
  <si>
    <t>total_acquired_customer_count</t>
  </si>
  <si>
    <t>subcategory_retention_rate_pct</t>
  </si>
  <si>
    <t>company_baseline_rate_pct</t>
  </si>
  <si>
    <t>vs_baseline_pct_points</t>
  </si>
  <si>
    <t>Washers &amp; Dryers</t>
  </si>
  <si>
    <t>Refrigerators</t>
  </si>
  <si>
    <t>Fans</t>
  </si>
  <si>
    <t>Lamps</t>
  </si>
  <si>
    <t>Digital Cameras</t>
  </si>
  <si>
    <t>Air Conditioners</t>
  </si>
  <si>
    <t>Car Video</t>
  </si>
  <si>
    <t>MP4&amp;MP3</t>
  </si>
  <si>
    <t>Desktops</t>
  </si>
  <si>
    <t>Cameras &amp; Camcorders Accessories</t>
  </si>
  <si>
    <t>Movie DVD</t>
  </si>
  <si>
    <t>Coffee Machines</t>
  </si>
  <si>
    <t>Smart phones &amp; PDAs</t>
  </si>
  <si>
    <t>Touch Screen Phones</t>
  </si>
  <si>
    <t>Printers, Scanners &amp; Fax</t>
  </si>
  <si>
    <t>Home Theater System</t>
  </si>
  <si>
    <t>Recording Pen</t>
  </si>
  <si>
    <t>Camcorders</t>
  </si>
  <si>
    <t>Microwaves</t>
  </si>
  <si>
    <t>Digital SLR Cameras</t>
  </si>
  <si>
    <t>VCD &amp; DVD</t>
  </si>
  <si>
    <t>Water Heaters</t>
  </si>
  <si>
    <t>Bluetooth Headphones</t>
  </si>
  <si>
    <t>Projectors &amp; Screens</t>
  </si>
  <si>
    <t>Monitors</t>
  </si>
  <si>
    <t>Laptops</t>
  </si>
  <si>
    <t>Computers Accessories</t>
  </si>
  <si>
    <t>Download Games</t>
  </si>
  <si>
    <t>Televisions</t>
  </si>
  <si>
    <t>Home &amp; Office Phones</t>
  </si>
  <si>
    <t>Cell phones Accessories</t>
  </si>
  <si>
    <t>Boxed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</si>
</sst>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Roboto"/>
    </font>
    <font>
      <color theme="1"/>
      <name val="Arial"/>
    </font>
    <font/>
    <font>
      <color theme="1"/>
      <name val="Google Sans Text"/>
    </font>
    <font>
      <sz val="9.0"/>
      <color theme="1"/>
      <name val="Arial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D9D9D9"/>
      </bottom>
    </border>
    <border>
      <left style="thin">
        <color rgb="FF3E4791"/>
      </left>
      <right style="thin">
        <color rgb="FFD9D9D9"/>
      </right>
      <top style="thin">
        <color rgb="FFD9D9D9"/>
      </top>
      <bottom style="thin">
        <color rgb="FF3E4791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4791"/>
      </bottom>
    </border>
    <border>
      <left style="thin">
        <color rgb="FFD9D9D9"/>
      </left>
      <right style="thin">
        <color rgb="FF3E4791"/>
      </right>
      <top style="thin">
        <color rgb="FFD9D9D9"/>
      </top>
      <bottom style="thin">
        <color rgb="FF3E4791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shrinkToFit="0" wrapText="0"/>
    </xf>
    <xf borderId="1" fillId="0" fontId="3" numFmtId="0" xfId="0" applyAlignment="1" applyBorder="1" applyFont="1">
      <alignment vertical="bottom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Border="1" applyFont="1"/>
    <xf borderId="4" fillId="0" fontId="3" numFmtId="0" xfId="0" applyAlignment="1" applyBorder="1" applyFont="1">
      <alignment readingOrder="0" vertical="bottom"/>
    </xf>
    <xf borderId="4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9" fillId="2" fontId="8" numFmtId="0" xfId="0" applyAlignment="1" applyBorder="1" applyFill="1" applyFont="1">
      <alignment shrinkToFit="0" vertical="center" wrapText="0"/>
    </xf>
    <xf borderId="10" fillId="2" fontId="8" numFmtId="0" xfId="0" applyAlignment="1" applyBorder="1" applyFont="1">
      <alignment horizontal="right" shrinkToFit="0" vertical="center" wrapText="0"/>
    </xf>
    <xf borderId="11" fillId="2" fontId="8" numFmtId="0" xfId="0" applyAlignment="1" applyBorder="1" applyFont="1">
      <alignment horizontal="right" shrinkToFit="0" vertical="center" wrapText="0"/>
    </xf>
    <xf borderId="9" fillId="3" fontId="8" numFmtId="0" xfId="0" applyAlignment="1" applyBorder="1" applyFill="1" applyFont="1">
      <alignment shrinkToFit="0" vertical="center" wrapText="0"/>
    </xf>
    <xf borderId="10" fillId="3" fontId="8" numFmtId="0" xfId="0" applyAlignment="1" applyBorder="1" applyFont="1">
      <alignment horizontal="right" shrinkToFit="0" vertical="center" wrapText="0"/>
    </xf>
    <xf borderId="11" fillId="3" fontId="8" numFmtId="0" xfId="0" applyAlignment="1" applyBorder="1" applyFont="1">
      <alignment horizontal="right" shrinkToFit="0" vertical="center" wrapText="0"/>
    </xf>
    <xf borderId="12" fillId="3" fontId="8" numFmtId="0" xfId="0" applyAlignment="1" applyBorder="1" applyFont="1">
      <alignment shrinkToFit="0" vertical="center" wrapText="0"/>
    </xf>
    <xf borderId="13" fillId="3" fontId="8" numFmtId="0" xfId="0" applyAlignment="1" applyBorder="1" applyFont="1">
      <alignment horizontal="right" shrinkToFit="0" vertical="center" wrapText="0"/>
    </xf>
    <xf borderId="14" fillId="3" fontId="8" numFmtId="0" xfId="0" applyAlignment="1" applyBorder="1" applyFont="1">
      <alignment horizontal="right" shrinkToFit="0" vertical="center" wrapText="0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0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vs_baseline_pct_points vs. total_acquired_customer_count (selective)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'04'!$K$9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'04'!$N$10:$N$23</c:f>
            </c:numRef>
          </c:xVal>
          <c:yVal>
            <c:numRef>
              <c:f>'04'!$K$10:$K$23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284025"/>
        <c:axId val="1975222891"/>
      </c:scatterChart>
      <c:valAx>
        <c:axId val="1355284025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vs_baseline_retention_pct_points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222891"/>
      </c:valAx>
      <c:valAx>
        <c:axId val="1975222891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total_acquired_customers</a:t>
                </a:r>
              </a:p>
            </c:rich>
          </c:tx>
          <c:layout>
            <c:manualLayout>
              <c:xMode val="edge"/>
              <c:yMode val="edge"/>
              <c:x val="0.028523809523809528"/>
              <c:y val="0.143178883044067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84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vs_baseline_pct_points vs. total_acquired_customer_count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'04'!$C$9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'04'!$F$10:$F$41</c:f>
            </c:numRef>
          </c:xVal>
          <c:yVal>
            <c:numRef>
              <c:f>'04'!$C$10:$C$41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263798"/>
        <c:axId val="1547007084"/>
      </c:scatterChart>
      <c:valAx>
        <c:axId val="1830263798"/>
        <c:scaling>
          <c:orientation val="minMax"/>
          <c:max val="6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vs_baseline_retention_pct_points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007084"/>
      </c:valAx>
      <c:valAx>
        <c:axId val="1547007084"/>
        <c:scaling>
          <c:orientation val="minMax"/>
          <c:max val="4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total_acquired_customers</a:t>
                </a:r>
              </a:p>
            </c:rich>
          </c:tx>
          <c:layout>
            <c:manualLayout>
              <c:xMode val="edge"/>
              <c:yMode val="edge"/>
              <c:x val="0.028523809523809528"/>
              <c:y val="0.143178883044067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263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42</xdr:row>
      <xdr:rowOff>19050</xdr:rowOff>
    </xdr:from>
    <xdr:ext cx="10001250" cy="5705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209550</xdr:colOff>
      <xdr:row>42</xdr:row>
      <xdr:rowOff>19050</xdr:rowOff>
    </xdr:from>
    <xdr:ext cx="10001250" cy="5705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F41" displayName="Table1" name="Table1" id="1">
  <autoFilter ref="$A$9:$F$41"/>
  <tableColumns count="6">
    <tableColumn name="subcategoryname" id="1"/>
    <tableColumn name="retained_customer_count" id="2"/>
    <tableColumn name="total_acquired_customer_count" id="3"/>
    <tableColumn name="subcategory_retention_rate_pct" id="4"/>
    <tableColumn name="company_baseline_rate_pct" id="5"/>
    <tableColumn name="vs_baseline_pct_points" id="6"/>
  </tableColumns>
  <tableStyleInfo name="04-style" showColumnStripes="0" showFirstColumn="1" showLastColumn="1" showRowStripes="1"/>
</table>
</file>

<file path=xl/tables/table2.xml><?xml version="1.0" encoding="utf-8"?>
<table xmlns="http://schemas.openxmlformats.org/spreadsheetml/2006/main" ref="I9:N21" displayName="Table2" name="Table2" id="2">
  <tableColumns count="6">
    <tableColumn name="subcategoryname" id="1"/>
    <tableColumn name="retained_customer_count" id="2"/>
    <tableColumn name="total_acquired_customer_count" id="3"/>
    <tableColumn name="subcategory_retention_rate_pct" id="4"/>
    <tableColumn name="company_baseline_rate_pct" id="5"/>
    <tableColumn name="vs_baseline_pct_points" id="6"/>
  </tableColumns>
  <tableStyleInfo name="0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8.38"/>
    <col customWidth="1" min="2" max="2" width="24.25"/>
    <col customWidth="1" min="3" max="4" width="28.75"/>
    <col customWidth="1" min="5" max="5" width="26.0"/>
    <col customWidth="1" min="6" max="6" width="22.63"/>
    <col customWidth="1" min="9" max="9" width="18.88"/>
    <col customWidth="1" min="10" max="10" width="24.25"/>
    <col customWidth="1" min="11" max="12" width="28.75"/>
    <col customWidth="1" min="13" max="13" width="26.0"/>
    <col customWidth="1" min="14" max="14" width="22.63"/>
  </cols>
  <sheetData>
    <row r="1" ht="21.75" customHeight="1">
      <c r="A1" s="1" t="s">
        <v>0</v>
      </c>
      <c r="I1" s="2"/>
      <c r="J1" s="2"/>
      <c r="K1" s="2"/>
      <c r="L1" s="2"/>
      <c r="M1" s="2"/>
      <c r="N1" s="2"/>
    </row>
    <row r="2" ht="21.75" customHeight="1">
      <c r="A2" s="3" t="s">
        <v>1</v>
      </c>
      <c r="B2" s="4"/>
      <c r="C2" s="4"/>
      <c r="D2" s="4"/>
      <c r="E2" s="4"/>
      <c r="F2" s="4"/>
      <c r="G2" s="5"/>
      <c r="I2" s="2"/>
      <c r="J2" s="2"/>
      <c r="K2" s="2"/>
      <c r="L2" s="2"/>
      <c r="M2" s="2"/>
      <c r="N2" s="2"/>
    </row>
    <row r="3" ht="21.75" customHeight="1">
      <c r="A3" s="6" t="s">
        <v>2</v>
      </c>
      <c r="G3" s="7"/>
      <c r="I3" s="2"/>
      <c r="J3" s="2"/>
      <c r="K3" s="2"/>
      <c r="L3" s="2"/>
      <c r="M3" s="2"/>
      <c r="N3" s="2"/>
    </row>
    <row r="4" ht="21.75" customHeight="1">
      <c r="A4" s="8" t="s">
        <v>3</v>
      </c>
      <c r="G4" s="7"/>
      <c r="I4" s="2"/>
      <c r="J4" s="2"/>
      <c r="K4" s="2"/>
      <c r="L4" s="2"/>
      <c r="M4" s="2"/>
      <c r="N4" s="2"/>
    </row>
    <row r="5" ht="21.75" customHeight="1">
      <c r="A5" s="9" t="s">
        <v>4</v>
      </c>
      <c r="G5" s="7"/>
      <c r="I5" s="2"/>
      <c r="J5" s="2"/>
      <c r="K5" s="2"/>
      <c r="L5" s="2"/>
      <c r="M5" s="2"/>
      <c r="N5" s="2"/>
    </row>
    <row r="6" ht="21.75" customHeight="1">
      <c r="A6" s="10" t="s">
        <v>5</v>
      </c>
      <c r="B6" s="11"/>
      <c r="C6" s="11"/>
      <c r="D6" s="11"/>
      <c r="E6" s="11"/>
      <c r="F6" s="11"/>
      <c r="G6" s="12"/>
      <c r="I6" s="2"/>
      <c r="J6" s="2"/>
      <c r="K6" s="2"/>
      <c r="L6" s="2"/>
      <c r="M6" s="2"/>
      <c r="N6" s="2"/>
    </row>
    <row r="7" ht="21.75" customHeight="1">
      <c r="A7" s="13"/>
      <c r="B7" s="14"/>
      <c r="C7" s="14"/>
      <c r="D7" s="14"/>
      <c r="E7" s="14"/>
      <c r="F7" s="14"/>
      <c r="G7" s="15"/>
      <c r="I7" s="2"/>
      <c r="J7" s="2"/>
      <c r="K7" s="2"/>
      <c r="L7" s="2"/>
      <c r="M7" s="2"/>
      <c r="N7" s="2"/>
    </row>
    <row r="8">
      <c r="A8" s="16"/>
      <c r="B8" s="16"/>
      <c r="C8" s="16"/>
      <c r="D8" s="16"/>
      <c r="E8" s="16"/>
      <c r="F8" s="16"/>
      <c r="I8" s="2"/>
      <c r="J8" s="2"/>
      <c r="K8" s="2"/>
      <c r="L8" s="2"/>
      <c r="M8" s="2"/>
      <c r="N8" s="2"/>
    </row>
    <row r="9" ht="22.5" customHeight="1">
      <c r="A9" s="17" t="s">
        <v>6</v>
      </c>
      <c r="B9" s="17" t="s">
        <v>7</v>
      </c>
      <c r="C9" s="17" t="s">
        <v>8</v>
      </c>
      <c r="D9" s="17" t="s">
        <v>9</v>
      </c>
      <c r="E9" s="17" t="s">
        <v>10</v>
      </c>
      <c r="F9" s="17" t="s">
        <v>11</v>
      </c>
      <c r="I9" s="18" t="s">
        <v>6</v>
      </c>
      <c r="J9" s="18" t="s">
        <v>7</v>
      </c>
      <c r="K9" s="18" t="s">
        <v>8</v>
      </c>
      <c r="L9" s="18" t="s">
        <v>9</v>
      </c>
      <c r="M9" s="18" t="s">
        <v>10</v>
      </c>
      <c r="N9" s="18" t="s">
        <v>11</v>
      </c>
    </row>
    <row r="10" ht="22.5" customHeight="1">
      <c r="A10" s="19" t="s">
        <v>12</v>
      </c>
      <c r="B10" s="19">
        <v>32.0</v>
      </c>
      <c r="C10" s="19">
        <v>126.0</v>
      </c>
      <c r="D10" s="19">
        <v>25.4</v>
      </c>
      <c r="E10" s="19">
        <v>21.01</v>
      </c>
      <c r="F10" s="19">
        <v>4.39</v>
      </c>
      <c r="I10" s="20" t="s">
        <v>13</v>
      </c>
      <c r="J10" s="21">
        <v>53.0</v>
      </c>
      <c r="K10" s="21">
        <v>204.0</v>
      </c>
      <c r="L10" s="21">
        <v>25.98</v>
      </c>
      <c r="M10" s="21">
        <v>21.01</v>
      </c>
      <c r="N10" s="22">
        <v>4.97</v>
      </c>
    </row>
    <row r="11" ht="22.5" customHeight="1">
      <c r="A11" s="19" t="s">
        <v>14</v>
      </c>
      <c r="B11" s="19">
        <v>28.0</v>
      </c>
      <c r="C11" s="19">
        <v>127.0</v>
      </c>
      <c r="D11" s="19">
        <v>22.05</v>
      </c>
      <c r="E11" s="19">
        <v>21.01</v>
      </c>
      <c r="F11" s="19">
        <v>1.04</v>
      </c>
      <c r="I11" s="23" t="s">
        <v>12</v>
      </c>
      <c r="J11" s="24">
        <v>32.0</v>
      </c>
      <c r="K11" s="24">
        <v>126.0</v>
      </c>
      <c r="L11" s="24">
        <v>25.4</v>
      </c>
      <c r="M11" s="24">
        <v>21.01</v>
      </c>
      <c r="N11" s="25">
        <v>4.39</v>
      </c>
    </row>
    <row r="12" ht="22.5" customHeight="1">
      <c r="A12" s="19" t="s">
        <v>15</v>
      </c>
      <c r="B12" s="19">
        <v>26.0</v>
      </c>
      <c r="C12" s="19">
        <v>130.0</v>
      </c>
      <c r="D12" s="19">
        <v>20.0</v>
      </c>
      <c r="E12" s="19">
        <v>21.01</v>
      </c>
      <c r="F12" s="19">
        <v>-1.01</v>
      </c>
      <c r="I12" s="20" t="s">
        <v>16</v>
      </c>
      <c r="J12" s="21">
        <v>51.0</v>
      </c>
      <c r="K12" s="21">
        <v>210.0</v>
      </c>
      <c r="L12" s="21">
        <v>24.29</v>
      </c>
      <c r="M12" s="21">
        <v>21.01</v>
      </c>
      <c r="N12" s="22">
        <v>3.28</v>
      </c>
    </row>
    <row r="13" ht="22.5" customHeight="1">
      <c r="A13" s="19" t="s">
        <v>17</v>
      </c>
      <c r="B13" s="19">
        <v>33.0</v>
      </c>
      <c r="C13" s="19">
        <v>171.0</v>
      </c>
      <c r="D13" s="19">
        <v>19.3</v>
      </c>
      <c r="E13" s="19">
        <v>21.01</v>
      </c>
      <c r="F13" s="19">
        <v>-1.71</v>
      </c>
      <c r="I13" s="23" t="s">
        <v>18</v>
      </c>
      <c r="J13" s="24">
        <v>64.0</v>
      </c>
      <c r="K13" s="24">
        <v>275.0</v>
      </c>
      <c r="L13" s="24">
        <v>23.27</v>
      </c>
      <c r="M13" s="24">
        <v>21.01</v>
      </c>
      <c r="N13" s="25">
        <v>2.26</v>
      </c>
    </row>
    <row r="14" ht="22.5" customHeight="1">
      <c r="A14" s="19" t="s">
        <v>19</v>
      </c>
      <c r="B14" s="19">
        <v>37.0</v>
      </c>
      <c r="C14" s="19">
        <v>175.0</v>
      </c>
      <c r="D14" s="19">
        <v>21.14</v>
      </c>
      <c r="E14" s="19">
        <v>21.01</v>
      </c>
      <c r="F14" s="19">
        <v>0.13</v>
      </c>
      <c r="I14" s="20" t="s">
        <v>20</v>
      </c>
      <c r="J14" s="21">
        <v>363.0</v>
      </c>
      <c r="K14" s="21">
        <v>1570.0</v>
      </c>
      <c r="L14" s="21">
        <v>23.12</v>
      </c>
      <c r="M14" s="21">
        <v>21.01</v>
      </c>
      <c r="N14" s="22">
        <v>2.11</v>
      </c>
    </row>
    <row r="15" ht="22.5" customHeight="1">
      <c r="A15" s="19" t="s">
        <v>21</v>
      </c>
      <c r="B15" s="19">
        <v>35.0</v>
      </c>
      <c r="C15" s="19">
        <v>179.0</v>
      </c>
      <c r="D15" s="19">
        <v>19.55</v>
      </c>
      <c r="E15" s="19">
        <v>21.01</v>
      </c>
      <c r="F15" s="19">
        <v>-1.46</v>
      </c>
      <c r="I15" s="23" t="s">
        <v>22</v>
      </c>
      <c r="J15" s="24">
        <v>609.0</v>
      </c>
      <c r="K15" s="24">
        <v>2953.0</v>
      </c>
      <c r="L15" s="24">
        <v>20.62</v>
      </c>
      <c r="M15" s="24">
        <v>21.01</v>
      </c>
      <c r="N15" s="25">
        <v>-0.39</v>
      </c>
    </row>
    <row r="16" ht="22.5" customHeight="1">
      <c r="A16" s="19" t="s">
        <v>23</v>
      </c>
      <c r="B16" s="19">
        <v>36.0</v>
      </c>
      <c r="C16" s="19">
        <v>184.0</v>
      </c>
      <c r="D16" s="19">
        <v>19.57</v>
      </c>
      <c r="E16" s="19">
        <v>21.01</v>
      </c>
      <c r="F16" s="19">
        <v>-1.44</v>
      </c>
      <c r="I16" s="20" t="s">
        <v>24</v>
      </c>
      <c r="J16" s="21">
        <v>342.0</v>
      </c>
      <c r="K16" s="21">
        <v>1723.0</v>
      </c>
      <c r="L16" s="21">
        <v>19.85</v>
      </c>
      <c r="M16" s="21">
        <v>21.01</v>
      </c>
      <c r="N16" s="22">
        <v>-1.16</v>
      </c>
    </row>
    <row r="17" ht="22.5" customHeight="1">
      <c r="A17" s="19" t="s">
        <v>13</v>
      </c>
      <c r="B17" s="19">
        <v>53.0</v>
      </c>
      <c r="C17" s="19">
        <v>204.0</v>
      </c>
      <c r="D17" s="19">
        <v>25.98</v>
      </c>
      <c r="E17" s="19">
        <v>21.01</v>
      </c>
      <c r="F17" s="19">
        <v>4.97</v>
      </c>
      <c r="I17" s="23" t="s">
        <v>25</v>
      </c>
      <c r="J17" s="24">
        <v>309.0</v>
      </c>
      <c r="K17" s="24">
        <v>1458.0</v>
      </c>
      <c r="L17" s="24">
        <v>21.19</v>
      </c>
      <c r="M17" s="24">
        <v>21.01</v>
      </c>
      <c r="N17" s="25">
        <v>0.18</v>
      </c>
    </row>
    <row r="18" ht="22.5" customHeight="1">
      <c r="A18" s="19" t="s">
        <v>16</v>
      </c>
      <c r="B18" s="19">
        <v>51.0</v>
      </c>
      <c r="C18" s="19">
        <v>210.0</v>
      </c>
      <c r="D18" s="19">
        <v>24.29</v>
      </c>
      <c r="E18" s="19">
        <v>21.01</v>
      </c>
      <c r="F18" s="19">
        <v>3.28</v>
      </c>
      <c r="I18" s="20" t="s">
        <v>26</v>
      </c>
      <c r="J18" s="21">
        <v>124.0</v>
      </c>
      <c r="K18" s="21">
        <v>654.0</v>
      </c>
      <c r="L18" s="21">
        <v>18.96</v>
      </c>
      <c r="M18" s="21">
        <v>21.01</v>
      </c>
      <c r="N18" s="22">
        <v>-2.05</v>
      </c>
    </row>
    <row r="19" ht="22.5" customHeight="1">
      <c r="A19" s="19" t="s">
        <v>27</v>
      </c>
      <c r="B19" s="19">
        <v>42.0</v>
      </c>
      <c r="C19" s="19">
        <v>214.0</v>
      </c>
      <c r="D19" s="19">
        <v>19.63</v>
      </c>
      <c r="E19" s="19">
        <v>21.01</v>
      </c>
      <c r="F19" s="19">
        <v>-1.38</v>
      </c>
      <c r="I19" s="23" t="s">
        <v>14</v>
      </c>
      <c r="J19" s="24">
        <v>28.0</v>
      </c>
      <c r="K19" s="24">
        <v>127.0</v>
      </c>
      <c r="L19" s="24">
        <f t="shared" ref="L19:L20" si="1">ROUND((J19/K19)*100, 2)</f>
        <v>22.05</v>
      </c>
      <c r="M19" s="24">
        <v>21.01</v>
      </c>
      <c r="N19" s="25">
        <v>1.04</v>
      </c>
    </row>
    <row r="20" ht="22.5" customHeight="1">
      <c r="A20" s="19" t="s">
        <v>28</v>
      </c>
      <c r="B20" s="19">
        <v>48.0</v>
      </c>
      <c r="C20" s="19">
        <v>224.0</v>
      </c>
      <c r="D20" s="19">
        <v>21.43</v>
      </c>
      <c r="E20" s="19">
        <v>21.01</v>
      </c>
      <c r="F20" s="19">
        <v>0.42</v>
      </c>
      <c r="I20" s="20" t="s">
        <v>21</v>
      </c>
      <c r="J20" s="21">
        <v>35.0</v>
      </c>
      <c r="K20" s="21">
        <v>179.0</v>
      </c>
      <c r="L20" s="21">
        <f t="shared" si="1"/>
        <v>19.55</v>
      </c>
      <c r="M20" s="21">
        <v>21.01</v>
      </c>
      <c r="N20" s="22">
        <v>-1.46</v>
      </c>
    </row>
    <row r="21" ht="22.5" customHeight="1">
      <c r="A21" s="19" t="s">
        <v>29</v>
      </c>
      <c r="B21" s="19">
        <v>51.0</v>
      </c>
      <c r="C21" s="19">
        <v>226.0</v>
      </c>
      <c r="D21" s="19">
        <v>22.57</v>
      </c>
      <c r="E21" s="19">
        <v>21.01</v>
      </c>
      <c r="F21" s="19">
        <v>1.56</v>
      </c>
      <c r="I21" s="26" t="s">
        <v>30</v>
      </c>
      <c r="J21" s="27">
        <v>83.0</v>
      </c>
      <c r="K21" s="27">
        <v>399.0</v>
      </c>
      <c r="L21" s="27">
        <v>20.8</v>
      </c>
      <c r="M21" s="27">
        <v>21.01</v>
      </c>
      <c r="N21" s="28">
        <v>-0.21</v>
      </c>
    </row>
    <row r="22" ht="22.5" customHeight="1">
      <c r="A22" s="19" t="s">
        <v>18</v>
      </c>
      <c r="B22" s="19">
        <v>64.0</v>
      </c>
      <c r="C22" s="19">
        <v>275.0</v>
      </c>
      <c r="D22" s="19">
        <v>23.27</v>
      </c>
      <c r="E22" s="19">
        <v>21.01</v>
      </c>
      <c r="F22" s="19">
        <v>2.26</v>
      </c>
      <c r="I22" s="29"/>
      <c r="J22" s="29"/>
      <c r="K22" s="29"/>
      <c r="L22" s="29"/>
      <c r="M22" s="29"/>
      <c r="N22" s="29"/>
    </row>
    <row r="23" ht="22.5" customHeight="1">
      <c r="A23" s="19" t="s">
        <v>31</v>
      </c>
      <c r="B23" s="19">
        <v>62.0</v>
      </c>
      <c r="C23" s="19">
        <v>290.0</v>
      </c>
      <c r="D23" s="19">
        <v>21.38</v>
      </c>
      <c r="E23" s="19">
        <v>21.01</v>
      </c>
      <c r="F23" s="19">
        <v>0.37</v>
      </c>
      <c r="I23" s="29"/>
      <c r="J23" s="29"/>
      <c r="K23" s="29"/>
      <c r="L23" s="29"/>
      <c r="M23" s="29"/>
      <c r="N23" s="29"/>
    </row>
    <row r="24" ht="22.5" customHeight="1">
      <c r="A24" s="19" t="s">
        <v>32</v>
      </c>
      <c r="B24" s="19">
        <v>73.0</v>
      </c>
      <c r="C24" s="19">
        <v>345.0</v>
      </c>
      <c r="D24" s="19">
        <v>21.16</v>
      </c>
      <c r="E24" s="19">
        <v>21.01</v>
      </c>
      <c r="F24" s="19">
        <v>0.15</v>
      </c>
    </row>
    <row r="25" ht="22.5" customHeight="1">
      <c r="A25" s="19" t="s">
        <v>30</v>
      </c>
      <c r="B25" s="19">
        <v>83.0</v>
      </c>
      <c r="C25" s="19">
        <v>399.0</v>
      </c>
      <c r="D25" s="19">
        <v>20.8</v>
      </c>
      <c r="E25" s="19">
        <v>21.01</v>
      </c>
      <c r="F25" s="19">
        <v>-0.21</v>
      </c>
    </row>
    <row r="26" ht="22.5" customHeight="1">
      <c r="A26" s="19" t="s">
        <v>33</v>
      </c>
      <c r="B26" s="19">
        <v>85.0</v>
      </c>
      <c r="C26" s="19">
        <v>422.0</v>
      </c>
      <c r="D26" s="19">
        <v>20.14</v>
      </c>
      <c r="E26" s="19">
        <v>21.01</v>
      </c>
      <c r="F26" s="19">
        <v>-0.87</v>
      </c>
    </row>
    <row r="27" ht="22.5" customHeight="1">
      <c r="A27" s="19" t="s">
        <v>34</v>
      </c>
      <c r="B27" s="19">
        <v>91.0</v>
      </c>
      <c r="C27" s="19">
        <v>464.0</v>
      </c>
      <c r="D27" s="19">
        <v>19.61</v>
      </c>
      <c r="E27" s="19">
        <v>21.01</v>
      </c>
      <c r="F27" s="19">
        <v>-1.4</v>
      </c>
    </row>
    <row r="28" ht="22.5" customHeight="1">
      <c r="A28" s="19" t="s">
        <v>35</v>
      </c>
      <c r="B28" s="19">
        <v>147.0</v>
      </c>
      <c r="C28" s="19">
        <v>641.0</v>
      </c>
      <c r="D28" s="19">
        <v>22.93</v>
      </c>
      <c r="E28" s="19">
        <v>21.01</v>
      </c>
      <c r="F28" s="19">
        <v>1.92</v>
      </c>
    </row>
    <row r="29" ht="22.5" customHeight="1">
      <c r="A29" s="19" t="s">
        <v>26</v>
      </c>
      <c r="B29" s="19">
        <v>124.0</v>
      </c>
      <c r="C29" s="19">
        <v>654.0</v>
      </c>
      <c r="D29" s="19">
        <v>18.96</v>
      </c>
      <c r="E29" s="19">
        <v>21.01</v>
      </c>
      <c r="F29" s="19">
        <v>-2.05</v>
      </c>
    </row>
    <row r="30" ht="22.5" customHeight="1">
      <c r="A30" s="19" t="s">
        <v>36</v>
      </c>
      <c r="B30" s="19">
        <v>149.0</v>
      </c>
      <c r="C30" s="19">
        <v>659.0</v>
      </c>
      <c r="D30" s="19">
        <v>22.61</v>
      </c>
      <c r="E30" s="19">
        <v>21.01</v>
      </c>
      <c r="F30" s="19">
        <v>1.6</v>
      </c>
    </row>
    <row r="31" ht="22.5" customHeight="1">
      <c r="A31" s="19" t="s">
        <v>37</v>
      </c>
      <c r="B31" s="19">
        <v>149.0</v>
      </c>
      <c r="C31" s="19">
        <v>661.0</v>
      </c>
      <c r="D31" s="19">
        <v>22.54</v>
      </c>
      <c r="E31" s="19">
        <v>21.01</v>
      </c>
      <c r="F31" s="19">
        <v>1.53</v>
      </c>
    </row>
    <row r="32" ht="22.5" customHeight="1">
      <c r="A32" s="19" t="s">
        <v>38</v>
      </c>
      <c r="B32" s="19">
        <v>153.0</v>
      </c>
      <c r="C32" s="19">
        <v>686.0</v>
      </c>
      <c r="D32" s="19">
        <v>22.3</v>
      </c>
      <c r="E32" s="19">
        <v>21.01</v>
      </c>
      <c r="F32" s="19">
        <v>1.29</v>
      </c>
    </row>
    <row r="33" ht="22.5" customHeight="1">
      <c r="A33" s="19" t="s">
        <v>39</v>
      </c>
      <c r="B33" s="19">
        <v>139.0</v>
      </c>
      <c r="C33" s="19">
        <v>702.0</v>
      </c>
      <c r="D33" s="19">
        <v>19.8</v>
      </c>
      <c r="E33" s="19">
        <v>21.01</v>
      </c>
      <c r="F33" s="19">
        <v>-1.21</v>
      </c>
    </row>
    <row r="34" ht="22.5" customHeight="1">
      <c r="A34" s="19" t="s">
        <v>40</v>
      </c>
      <c r="B34" s="19">
        <v>158.0</v>
      </c>
      <c r="C34" s="19">
        <v>760.0</v>
      </c>
      <c r="D34" s="19">
        <v>20.79</v>
      </c>
      <c r="E34" s="19">
        <v>21.01</v>
      </c>
      <c r="F34" s="19">
        <v>-0.22</v>
      </c>
    </row>
    <row r="35" ht="22.5" customHeight="1">
      <c r="A35" s="19" t="s">
        <v>41</v>
      </c>
      <c r="B35" s="19">
        <v>150.0</v>
      </c>
      <c r="C35" s="19">
        <v>795.0</v>
      </c>
      <c r="D35" s="19">
        <v>18.87</v>
      </c>
      <c r="E35" s="19">
        <v>21.01</v>
      </c>
      <c r="F35" s="19">
        <v>-2.14</v>
      </c>
    </row>
    <row r="36" ht="22.5" customHeight="1">
      <c r="A36" s="19" t="s">
        <v>42</v>
      </c>
      <c r="B36" s="19">
        <v>161.0</v>
      </c>
      <c r="C36" s="19">
        <v>828.0</v>
      </c>
      <c r="D36" s="19">
        <v>19.44</v>
      </c>
      <c r="E36" s="19">
        <v>21.01</v>
      </c>
      <c r="F36" s="19">
        <v>-1.57</v>
      </c>
    </row>
    <row r="37" ht="22.5" customHeight="1">
      <c r="A37" s="19" t="s">
        <v>43</v>
      </c>
      <c r="B37" s="19">
        <v>196.0</v>
      </c>
      <c r="C37" s="19">
        <v>962.0</v>
      </c>
      <c r="D37" s="19">
        <v>20.37</v>
      </c>
      <c r="E37" s="19">
        <v>21.01</v>
      </c>
      <c r="F37" s="19">
        <v>-0.64</v>
      </c>
    </row>
    <row r="38" ht="22.5" customHeight="1">
      <c r="A38" s="19" t="s">
        <v>25</v>
      </c>
      <c r="B38" s="19">
        <v>309.0</v>
      </c>
      <c r="C38" s="19">
        <v>1458.0</v>
      </c>
      <c r="D38" s="19">
        <v>21.19</v>
      </c>
      <c r="E38" s="19">
        <v>21.01</v>
      </c>
      <c r="F38" s="19">
        <v>0.18</v>
      </c>
    </row>
    <row r="39" ht="22.5" customHeight="1">
      <c r="A39" s="19" t="s">
        <v>20</v>
      </c>
      <c r="B39" s="19">
        <v>363.0</v>
      </c>
      <c r="C39" s="19">
        <v>1570.0</v>
      </c>
      <c r="D39" s="19">
        <v>23.12</v>
      </c>
      <c r="E39" s="19">
        <v>21.01</v>
      </c>
      <c r="F39" s="19">
        <v>2.11</v>
      </c>
    </row>
    <row r="40" ht="22.5" customHeight="1">
      <c r="A40" s="19" t="s">
        <v>24</v>
      </c>
      <c r="B40" s="19">
        <v>342.0</v>
      </c>
      <c r="C40" s="19">
        <v>1723.0</v>
      </c>
      <c r="D40" s="19">
        <v>19.85</v>
      </c>
      <c r="E40" s="19">
        <v>21.01</v>
      </c>
      <c r="F40" s="19">
        <v>-1.16</v>
      </c>
    </row>
    <row r="41" ht="22.5" customHeight="1">
      <c r="A41" s="19" t="s">
        <v>22</v>
      </c>
      <c r="B41" s="19">
        <v>609.0</v>
      </c>
      <c r="C41" s="19">
        <v>2953.0</v>
      </c>
      <c r="D41" s="19">
        <v>20.62</v>
      </c>
      <c r="E41" s="19">
        <v>21.01</v>
      </c>
      <c r="F41" s="19">
        <v>-0.39</v>
      </c>
    </row>
  </sheetData>
  <mergeCells count="6">
    <mergeCell ref="A1:G1"/>
    <mergeCell ref="A2:G2"/>
    <mergeCell ref="A3:G3"/>
    <mergeCell ref="A4:G4"/>
    <mergeCell ref="A5:G5"/>
    <mergeCell ref="A6:G6"/>
  </mergeCells>
  <drawing r:id="rId1"/>
  <tableParts count="2">
    <tablePart r:id="rId4"/>
    <tablePart r:id="rId5"/>
  </tableParts>
</worksheet>
</file>