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5"/>
  </sheets>
  <definedNames/>
  <calcPr/>
</workbook>
</file>

<file path=xl/sharedStrings.xml><?xml version="1.0" encoding="utf-8"?>
<sst xmlns="http://schemas.openxmlformats.org/spreadsheetml/2006/main" count="21" uniqueCount="16">
  <si>
    <t>Customer Retention &amp; Cohort Conversion Summary</t>
  </si>
  <si>
    <r>
      <rPr>
        <rFont val="Arial"/>
        <b/>
        <color theme="1"/>
      </rPr>
      <t>SOURCE:</t>
    </r>
    <r>
      <rPr>
        <rFont val="Arial"/>
        <color theme="1"/>
      </rPr>
      <t xml:space="preserve"> PostgreSQL (View: cohort_analysis)</t>
    </r>
  </si>
  <si>
    <r>
      <rPr>
        <rFont val="Arial"/>
        <b/>
        <color theme="1"/>
      </rPr>
      <t>DATASET:</t>
    </r>
    <r>
      <rPr>
        <rFont val="Arial"/>
        <color theme="1"/>
      </rPr>
      <t xml:space="preserve"> contoso_100k</t>
    </r>
  </si>
  <si>
    <r>
      <rPr>
        <rFont val="Arial"/>
        <b/>
        <color theme="1"/>
      </rPr>
      <t>FIRST PURCHASE RANGE:</t>
    </r>
    <r>
      <rPr>
        <rFont val="Arial"/>
        <color theme="1"/>
      </rPr>
      <t xml:space="preserve"> 20 April 2022 - 20 April 2023 </t>
    </r>
  </si>
  <si>
    <r>
      <rPr>
        <rFont val="&quot;Google Sans Text&quot;, sans-serif !important"/>
        <b/>
        <color theme="1"/>
      </rPr>
      <t xml:space="preserve">LOGIC: </t>
    </r>
    <r>
      <rPr>
        <rFont val="&quot;Google Sans Text&quot;, sans-serif !important"/>
        <color theme="1"/>
      </rPr>
      <t>"Retained" = 2nd order placed within 365 days from 1st order.</t>
    </r>
  </si>
  <si>
    <r>
      <rPr>
        <rFont val="Arial"/>
        <b/>
        <color theme="1"/>
      </rPr>
      <t>COHORT MATURITY:</t>
    </r>
    <r>
      <rPr>
        <rFont val="Arial"/>
        <color theme="1"/>
      </rPr>
      <t xml:space="preserve"> This date range represents the latest fully matured cohort, ensuring every customer included has had a complete 365-day window to potentially return.</t>
    </r>
  </si>
  <si>
    <t>customer_segment</t>
  </si>
  <si>
    <t>total_customer_count</t>
  </si>
  <si>
    <t>customer_share_pct</t>
  </si>
  <si>
    <t>total_segment_revenue</t>
  </si>
  <si>
    <t>revenue_share_pct</t>
  </si>
  <si>
    <t>avg_ltv</t>
  </si>
  <si>
    <t>ltv_multiplier</t>
  </si>
  <si>
    <t>Churned_Cust</t>
  </si>
  <si>
    <t>Retained_Cust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</si>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</sst>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&quot;Google Sans Text&quot;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E479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readingOrder="0"/>
    </xf>
    <xf borderId="5" fillId="0" fontId="3" numFmtId="0" xfId="0" applyBorder="1" applyFont="1"/>
    <xf borderId="4" fillId="0" fontId="4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9" fillId="2" fontId="5" numFmtId="0" xfId="0" applyAlignment="1" applyBorder="1" applyFill="1" applyFont="1">
      <alignment shrinkToFit="0" wrapText="0"/>
    </xf>
    <xf borderId="0" fillId="0" fontId="2" numFmtId="0" xfId="0" applyAlignment="1" applyFont="1">
      <alignment readingOrder="0" shrinkToFit="0" vertical="center" wrapText="0"/>
    </xf>
    <xf borderId="10" fillId="3" fontId="6" numFmtId="0" xfId="0" applyAlignment="1" applyBorder="1" applyFill="1" applyFont="1">
      <alignment shrinkToFit="0" wrapText="0"/>
    </xf>
    <xf borderId="11" fillId="3" fontId="6" numFmtId="0" xfId="0" applyAlignment="1" applyBorder="1" applyFont="1">
      <alignment horizontal="right" shrinkToFit="0" wrapText="0"/>
    </xf>
    <xf borderId="10" fillId="4" fontId="6" numFmtId="0" xfId="0" applyAlignment="1" applyBorder="1" applyFill="1" applyFont="1">
      <alignment shrinkToFit="0" wrapText="0"/>
    </xf>
    <xf borderId="11" fillId="4" fontId="6" numFmtId="0" xfId="0" applyAlignment="1" applyBorder="1" applyFont="1">
      <alignment horizontal="right" shrinkToFit="0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0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Customer Segment %</a:t>
            </a:r>
          </a:p>
        </c:rich>
      </c:tx>
      <c:overlay val="0"/>
    </c:title>
    <c:plotArea>
      <c:layout>
        <c:manualLayout>
          <c:xMode val="edge"/>
          <c:yMode val="edge"/>
          <c:x val="0.02925"/>
          <c:y val="0.1372416891284816"/>
          <c:w val="0.9381666666666668"/>
          <c:h val="0.747079964061096"/>
        </c:manualLayout>
      </c:layout>
      <c:doughnutChart>
        <c:varyColors val="1"/>
        <c:ser>
          <c:idx val="0"/>
          <c:order val="0"/>
          <c:tx>
            <c:strRef>
              <c:f>'01'!$B$9</c:f>
            </c:strRef>
          </c:tx>
          <c:dPt>
            <c:idx val="0"/>
            <c:spPr>
              <a:solidFill>
                <a:srgbClr val="8E7CC3"/>
              </a:solidFill>
            </c:spPr>
          </c:dPt>
          <c:dPt>
            <c:idx val="1"/>
            <c:explosion val="0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'01'!$A$10:$A$11</c:f>
            </c:strRef>
          </c:cat>
          <c:val>
            <c:numRef>
              <c:f>'01'!$B$10:$B$11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customer_share_pct and revenue_share_pct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'01'!$I$10</c:f>
            </c:strRef>
          </c:tx>
          <c:spPr>
            <a:solidFill>
              <a:srgbClr val="8E7CC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'01'!$J$9:$K$9</c:f>
            </c:strRef>
          </c:cat>
          <c:val>
            <c:numRef>
              <c:f>'01'!$J$10:$K$10</c:f>
              <c:numCache/>
            </c:numRef>
          </c:val>
        </c:ser>
        <c:ser>
          <c:idx val="1"/>
          <c:order val="1"/>
          <c:tx>
            <c:strRef>
              <c:f>'01'!$I$11</c:f>
            </c:strRef>
          </c:tx>
          <c:spPr>
            <a:solidFill>
              <a:srgbClr val="FFE5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'01'!$J$9:$K$9</c:f>
            </c:strRef>
          </c:cat>
          <c:val>
            <c:numRef>
              <c:f>'01'!$J$11:$K$11</c:f>
              <c:numCache/>
            </c:numRef>
          </c:val>
        </c:ser>
        <c:overlap val="100"/>
        <c:axId val="677474708"/>
        <c:axId val="1533209992"/>
      </c:barChart>
      <c:catAx>
        <c:axId val="677474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209992"/>
      </c:catAx>
      <c:valAx>
        <c:axId val="1533209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474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14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1428750</xdr:colOff>
      <xdr:row>14</xdr:row>
      <xdr:rowOff>171450</xdr:rowOff>
    </xdr:from>
    <xdr:ext cx="5715000" cy="3533775"/>
    <xdr:pic>
      <xdr:nvPicPr>
        <xdr:cNvPr id="22529261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34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G12" displayName="Table1" name="Table1" id="1">
  <tableColumns count="7">
    <tableColumn name="customer_segment" id="1"/>
    <tableColumn name="total_customer_count" id="2"/>
    <tableColumn name="customer_share_pct" id="3"/>
    <tableColumn name="total_segment_revenue" id="4"/>
    <tableColumn name="revenue_share_pct" id="5"/>
    <tableColumn name="avg_ltv" id="6"/>
    <tableColumn name="ltv_multiplier" id="7"/>
  </tableColumns>
  <tableStyleInfo name="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1.63"/>
    <col customWidth="1" min="3" max="3" width="20.5"/>
    <col customWidth="1" min="4" max="4" width="22.63"/>
    <col customWidth="1" min="5" max="5" width="19.25"/>
    <col customWidth="1" min="6" max="6" width="14.25"/>
    <col customWidth="1" min="7" max="7" width="14.0"/>
    <col customWidth="1" min="9" max="9" width="15.25"/>
    <col customWidth="1" min="10" max="10" width="16.0"/>
    <col customWidth="1" min="11" max="11" width="14.75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4"/>
    </row>
    <row r="3">
      <c r="A3" s="5" t="s">
        <v>2</v>
      </c>
      <c r="G3" s="6"/>
    </row>
    <row r="4">
      <c r="A4" s="5" t="s">
        <v>3</v>
      </c>
      <c r="G4" s="6"/>
    </row>
    <row r="5">
      <c r="A5" s="7" t="s">
        <v>4</v>
      </c>
      <c r="G5" s="6"/>
    </row>
    <row r="6">
      <c r="A6" s="8" t="s">
        <v>5</v>
      </c>
      <c r="B6" s="9"/>
      <c r="C6" s="9"/>
      <c r="D6" s="9"/>
      <c r="E6" s="9"/>
      <c r="F6" s="9"/>
      <c r="G6" s="10"/>
    </row>
    <row r="9" ht="22.5" customHeight="1">
      <c r="A9" s="11" t="s">
        <v>6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11</v>
      </c>
      <c r="G9" s="11" t="s">
        <v>12</v>
      </c>
      <c r="I9" s="12" t="s">
        <v>6</v>
      </c>
      <c r="J9" s="12" t="s">
        <v>8</v>
      </c>
      <c r="K9" s="12" t="s">
        <v>10</v>
      </c>
    </row>
    <row r="10" ht="22.5" customHeight="1">
      <c r="A10" s="13" t="s">
        <v>13</v>
      </c>
      <c r="B10" s="13">
        <v>6794.0</v>
      </c>
      <c r="C10" s="13">
        <v>79.0</v>
      </c>
      <c r="D10" s="13">
        <v>1.45166047052656E7</v>
      </c>
      <c r="E10" s="13">
        <v>63.9</v>
      </c>
      <c r="F10" s="13">
        <v>2136.68</v>
      </c>
      <c r="G10" s="13">
        <v>1.0</v>
      </c>
      <c r="I10" s="14" t="s">
        <v>13</v>
      </c>
      <c r="J10" s="15">
        <v>79.0</v>
      </c>
      <c r="K10" s="15">
        <v>63.9</v>
      </c>
    </row>
    <row r="11" ht="22.5" customHeight="1">
      <c r="A11" s="13" t="s">
        <v>14</v>
      </c>
      <c r="B11" s="13">
        <v>1807.0</v>
      </c>
      <c r="C11" s="13">
        <v>21.0</v>
      </c>
      <c r="D11" s="13">
        <v>8195692.10590785</v>
      </c>
      <c r="E11" s="13">
        <v>36.1</v>
      </c>
      <c r="F11" s="13">
        <v>4535.52</v>
      </c>
      <c r="G11" s="13">
        <v>2.12</v>
      </c>
      <c r="I11" s="16" t="s">
        <v>14</v>
      </c>
      <c r="J11" s="17">
        <v>21.0</v>
      </c>
      <c r="K11" s="17">
        <v>36.1</v>
      </c>
    </row>
    <row r="12" ht="22.5" customHeight="1">
      <c r="A12" s="18" t="s">
        <v>15</v>
      </c>
      <c r="B12" s="18">
        <f t="shared" ref="B12:E12" si="1">SUM(B10:B11)</f>
        <v>8601</v>
      </c>
      <c r="C12" s="18">
        <f t="shared" si="1"/>
        <v>100</v>
      </c>
      <c r="D12" s="18">
        <f t="shared" si="1"/>
        <v>22712296.81</v>
      </c>
      <c r="E12" s="18">
        <f t="shared" si="1"/>
        <v>100</v>
      </c>
      <c r="F12" s="18"/>
      <c r="G12" s="18"/>
    </row>
    <row r="15">
      <c r="E15" s="19"/>
    </row>
  </sheetData>
  <mergeCells count="6">
    <mergeCell ref="A1:G1"/>
    <mergeCell ref="A2:G2"/>
    <mergeCell ref="A3:G3"/>
    <mergeCell ref="A4:G4"/>
    <mergeCell ref="A5:G5"/>
    <mergeCell ref="A6:G6"/>
  </mergeCells>
  <drawing r:id="rId1"/>
  <tableParts count="1">
    <tablePart r:id="rId3"/>
  </tableParts>
</worksheet>
</file>